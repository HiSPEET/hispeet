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rg/Numerics/HiSPEET-Fusion/src/cart/elliptic/taurus/"/>
    </mc:Choice>
  </mc:AlternateContent>
  <xr:revisionPtr revIDLastSave="0" documentId="13_ncr:1_{813A6FF3-3691-F949-AAE2-BA5E3CCAAB54}" xr6:coauthVersionLast="46" xr6:coauthVersionMax="46" xr10:uidLastSave="{00000000-0000-0000-0000-000000000000}"/>
  <bookViews>
    <workbookView xWindow="5040" yWindow="500" windowWidth="20620" windowHeight="15280" xr2:uid="{FA8EC70F-FD05-134D-8027-15CCBCA4C0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2" i="1"/>
  <c r="C20" i="1"/>
  <c r="C19" i="1"/>
  <c r="C18" i="1"/>
  <c r="C17" i="1"/>
  <c r="C16" i="1"/>
  <c r="B17" i="1"/>
  <c r="B18" i="1"/>
  <c r="B19" i="1"/>
  <c r="B20" i="1"/>
  <c r="B16" i="1"/>
  <c r="C13" i="1"/>
  <c r="C12" i="1"/>
  <c r="C11" i="1"/>
  <c r="C10" i="1"/>
  <c r="C9" i="1"/>
  <c r="B10" i="1"/>
  <c r="B11" i="1"/>
  <c r="B12" i="1"/>
  <c r="B13" i="1"/>
  <c r="B9" i="1"/>
  <c r="C27" i="1"/>
  <c r="C26" i="1"/>
  <c r="C25" i="1"/>
  <c r="C24" i="1"/>
  <c r="C23" i="1"/>
  <c r="B27" i="1"/>
  <c r="B26" i="1"/>
  <c r="B25" i="1"/>
  <c r="B24" i="1"/>
  <c r="B23" i="1"/>
  <c r="C58" i="1"/>
  <c r="B60" i="1"/>
  <c r="C60" i="1" s="1"/>
  <c r="B61" i="1"/>
  <c r="C61" i="1" s="1"/>
  <c r="B62" i="1"/>
  <c r="C62" i="1" s="1"/>
  <c r="B59" i="1"/>
  <c r="C59" i="1" s="1"/>
  <c r="B58" i="1"/>
  <c r="B55" i="1"/>
  <c r="C55" i="1" s="1"/>
  <c r="B46" i="1"/>
  <c r="B47" i="1"/>
  <c r="B48" i="1"/>
  <c r="C48" i="1" s="1"/>
  <c r="C41" i="1"/>
  <c r="B41" i="1"/>
  <c r="B39" i="1"/>
  <c r="C39" i="1" s="1"/>
  <c r="B40" i="1"/>
  <c r="C40" i="1" s="1"/>
  <c r="B31" i="1"/>
  <c r="C31" i="1" s="1"/>
  <c r="B32" i="1"/>
  <c r="C32" i="1" s="1"/>
  <c r="B33" i="1"/>
  <c r="C33" i="1" s="1"/>
  <c r="B34" i="1"/>
  <c r="C34" i="1" s="1"/>
  <c r="B52" i="1" l="1"/>
  <c r="C52" i="1" s="1"/>
  <c r="B53" i="1"/>
  <c r="C53" i="1" s="1"/>
  <c r="B54" i="1"/>
  <c r="C54" i="1" s="1"/>
  <c r="B51" i="1"/>
  <c r="C51" i="1" s="1"/>
  <c r="C47" i="1"/>
  <c r="B45" i="1"/>
  <c r="C45" i="1" s="1"/>
  <c r="C46" i="1"/>
  <c r="B44" i="1"/>
  <c r="C44" i="1" s="1"/>
  <c r="B38" i="1"/>
  <c r="C38" i="1" s="1"/>
  <c r="B37" i="1"/>
  <c r="C37" i="1" s="1"/>
  <c r="B30" i="1"/>
  <c r="C30" i="1" s="1"/>
</calcChain>
</file>

<file path=xl/sharedStrings.xml><?xml version="1.0" encoding="utf-8"?>
<sst xmlns="http://schemas.openxmlformats.org/spreadsheetml/2006/main" count="49" uniqueCount="32">
  <si>
    <t>S</t>
  </si>
  <si>
    <t>E %</t>
  </si>
  <si>
    <t>time/DOF in ms</t>
  </si>
  <si>
    <t>– SetArray</t>
  </si>
  <si>
    <t>array operations in compute averages/jumps</t>
  </si>
  <si>
    <t>averages/jumps in element</t>
  </si>
  <si>
    <t>u traces joined with qn traces</t>
  </si>
  <si>
    <t>direct computation of normal flux traces</t>
  </si>
  <si>
    <t>v0</t>
  </si>
  <si>
    <t>v1</t>
  </si>
  <si>
    <t>v2</t>
  </si>
  <si>
    <t>v3</t>
  </si>
  <si>
    <t>v4</t>
  </si>
  <si>
    <t>v5</t>
  </si>
  <si>
    <t xml:space="preserve">TPO LIBXSMM </t>
  </si>
  <si>
    <t>TPO hand-crafted</t>
  </si>
  <si>
    <t>TPO generic</t>
  </si>
  <si>
    <t>4,2/2,5 x faster than v0 generic/LIBXSMM</t>
  </si>
  <si>
    <t>5,6/4,3 x faster than v0 generic/LIBXSMM</t>
  </si>
  <si>
    <t>ne</t>
  </si>
  <si>
    <t>po</t>
  </si>
  <si>
    <t>dof</t>
  </si>
  <si>
    <t>taurus</t>
  </si>
  <si>
    <t>Xeon E5-2680 v3</t>
  </si>
  <si>
    <t>highm1</t>
  </si>
  <si>
    <t>17,9 M/s</t>
  </si>
  <si>
    <t>701 M/s</t>
  </si>
  <si>
    <t>Throughput increased 39x</t>
  </si>
  <si>
    <t>12 cores</t>
  </si>
  <si>
    <t>1 core</t>
  </si>
  <si>
    <t>v0 generic</t>
  </si>
  <si>
    <t>2,5 GHz?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</si>
</sst>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"/>
    <numFmt numFmtId="166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Font="1"/>
    <xf numFmtId="164" fontId="2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1264-5964-A74F-B487-33D0E857939E}">
  <dimension ref="A1:M67"/>
  <sheetViews>
    <sheetView tabSelected="1" topLeftCell="A52" zoomScale="171" zoomScaleNormal="171" workbookViewId="0">
      <selection activeCell="D4" sqref="D4"/>
    </sheetView>
  </sheetViews>
  <sheetFormatPr baseColWidth="10" defaultRowHeight="16" x14ac:dyDescent="0.2"/>
  <cols>
    <col min="1" max="3" width="15.83203125" style="6" customWidth="1"/>
    <col min="4" max="4" width="15.83203125" style="11" customWidth="1"/>
    <col min="5" max="12" width="15.83203125" style="6" customWidth="1"/>
    <col min="13" max="13" width="10.83203125" style="6"/>
    <col min="14" max="16384" width="10.83203125" style="3"/>
  </cols>
  <sheetData>
    <row r="1" spans="1:4" x14ac:dyDescent="0.2">
      <c r="A1" s="6" t="s">
        <v>20</v>
      </c>
      <c r="B1" s="6">
        <v>15</v>
      </c>
    </row>
    <row r="2" spans="1:4" x14ac:dyDescent="0.2">
      <c r="A2" s="6" t="s">
        <v>19</v>
      </c>
      <c r="B2" s="6">
        <f>16^3</f>
        <v>4096</v>
      </c>
    </row>
    <row r="3" spans="1:4" x14ac:dyDescent="0.2">
      <c r="A3" s="6" t="s">
        <v>21</v>
      </c>
      <c r="B3" s="6">
        <f>(B1+1)^3 * B2</f>
        <v>16777216</v>
      </c>
    </row>
    <row r="4" spans="1:4" x14ac:dyDescent="0.2">
      <c r="A4" s="6" t="s">
        <v>22</v>
      </c>
      <c r="B4" s="6" t="s">
        <v>23</v>
      </c>
      <c r="C4" s="6" t="s">
        <v>24</v>
      </c>
      <c r="D4" s="11" t="s">
        <v>31</v>
      </c>
    </row>
    <row r="6" spans="1:4" x14ac:dyDescent="0.2">
      <c r="A6" s="6" t="s">
        <v>2</v>
      </c>
    </row>
    <row r="8" spans="1:4" x14ac:dyDescent="0.2">
      <c r="A8" s="2" t="s">
        <v>8</v>
      </c>
      <c r="B8" s="2" t="s">
        <v>0</v>
      </c>
      <c r="C8" s="2" t="s">
        <v>1</v>
      </c>
      <c r="D8" s="12" t="s">
        <v>16</v>
      </c>
    </row>
    <row r="9" spans="1:4" x14ac:dyDescent="0.2">
      <c r="A9" s="5">
        <v>5.582E-8</v>
      </c>
      <c r="B9" s="7">
        <f>A$9/A9</f>
        <v>1</v>
      </c>
      <c r="C9" s="8">
        <f>100*B9/1</f>
        <v>100</v>
      </c>
    </row>
    <row r="10" spans="1:4" x14ac:dyDescent="0.2">
      <c r="A10" s="5">
        <v>2.9639999999999999E-8</v>
      </c>
      <c r="B10" s="7">
        <f t="shared" ref="B10:B13" si="0">A$9/A10</f>
        <v>1.8832658569500675</v>
      </c>
      <c r="C10" s="8">
        <f>100*B10/2</f>
        <v>94.163292847503371</v>
      </c>
    </row>
    <row r="11" spans="1:4" x14ac:dyDescent="0.2">
      <c r="A11" s="5">
        <v>1.5980000000000001E-8</v>
      </c>
      <c r="B11" s="7">
        <f t="shared" si="0"/>
        <v>3.4931163954943676</v>
      </c>
      <c r="C11" s="8">
        <f>100*B11/4</f>
        <v>87.327909887359183</v>
      </c>
    </row>
    <row r="12" spans="1:4" x14ac:dyDescent="0.2">
      <c r="A12" s="5">
        <v>9.7049999999999999E-9</v>
      </c>
      <c r="B12" s="7">
        <f t="shared" si="0"/>
        <v>5.7516743946419373</v>
      </c>
      <c r="C12" s="8">
        <f>100*B12/8</f>
        <v>71.89592993302422</v>
      </c>
    </row>
    <row r="13" spans="1:4" x14ac:dyDescent="0.2">
      <c r="A13" s="5">
        <v>7.9669999999999995E-9</v>
      </c>
      <c r="B13" s="7">
        <f t="shared" si="0"/>
        <v>7.006401405798921</v>
      </c>
      <c r="C13" s="8">
        <f>100*B13/12</f>
        <v>58.386678381657674</v>
      </c>
    </row>
    <row r="15" spans="1:4" x14ac:dyDescent="0.2">
      <c r="A15" s="2" t="s">
        <v>8</v>
      </c>
      <c r="B15" s="2" t="s">
        <v>0</v>
      </c>
      <c r="C15" s="2" t="s">
        <v>1</v>
      </c>
      <c r="D15" s="12" t="s">
        <v>15</v>
      </c>
    </row>
    <row r="16" spans="1:4" x14ac:dyDescent="0.2">
      <c r="A16" s="5">
        <v>3.6629999999999998E-8</v>
      </c>
      <c r="B16" s="7">
        <f>A$16/A16</f>
        <v>1</v>
      </c>
      <c r="C16" s="8">
        <f>100*B16/1</f>
        <v>100</v>
      </c>
    </row>
    <row r="17" spans="1:13" x14ac:dyDescent="0.2">
      <c r="A17" s="5">
        <v>1.9610000000000002E-8</v>
      </c>
      <c r="B17" s="7">
        <f t="shared" ref="B17:B20" si="1">A$16/A17</f>
        <v>1.8679245283018866</v>
      </c>
      <c r="C17" s="8">
        <f>100*B17/2</f>
        <v>93.396226415094333</v>
      </c>
    </row>
    <row r="18" spans="1:13" x14ac:dyDescent="0.2">
      <c r="A18" s="5">
        <v>1.0989999999999999E-8</v>
      </c>
      <c r="B18" s="7">
        <f t="shared" si="1"/>
        <v>3.3330300272975433</v>
      </c>
      <c r="C18" s="8">
        <f>100*B18/4</f>
        <v>83.325750682438581</v>
      </c>
    </row>
    <row r="19" spans="1:13" x14ac:dyDescent="0.2">
      <c r="A19" s="5">
        <v>7.2840000000000001E-9</v>
      </c>
      <c r="B19" s="7">
        <f t="shared" si="1"/>
        <v>5.0288303130148266</v>
      </c>
      <c r="C19" s="8">
        <f>100*B19/8</f>
        <v>62.860378912685334</v>
      </c>
    </row>
    <row r="20" spans="1:13" x14ac:dyDescent="0.2">
      <c r="A20" s="5">
        <v>6.1579999999999996E-9</v>
      </c>
      <c r="B20" s="7">
        <f t="shared" si="1"/>
        <v>5.9483598570964595</v>
      </c>
      <c r="C20" s="8">
        <f>100*B20/12</f>
        <v>49.569665475803824</v>
      </c>
    </row>
    <row r="21" spans="1:13" x14ac:dyDescent="0.2">
      <c r="A21" s="5"/>
    </row>
    <row r="22" spans="1:13" x14ac:dyDescent="0.2">
      <c r="A22" s="2" t="s">
        <v>8</v>
      </c>
      <c r="B22" s="2" t="s">
        <v>0</v>
      </c>
      <c r="C22" s="2" t="s">
        <v>1</v>
      </c>
      <c r="D22" s="12" t="s">
        <v>14</v>
      </c>
    </row>
    <row r="23" spans="1:13" x14ac:dyDescent="0.2">
      <c r="A23" s="5">
        <v>3.3950000000000003E-8</v>
      </c>
      <c r="B23" s="7">
        <f>A$23/A23</f>
        <v>1</v>
      </c>
      <c r="C23" s="8">
        <f>100*B23/1</f>
        <v>100</v>
      </c>
    </row>
    <row r="24" spans="1:13" x14ac:dyDescent="0.2">
      <c r="A24" s="5">
        <v>1.8510000000000002E-8</v>
      </c>
      <c r="B24" s="7">
        <f>A$23/A24</f>
        <v>1.8341437061048083</v>
      </c>
      <c r="C24" s="8">
        <f>100*B24/2</f>
        <v>91.707185305240415</v>
      </c>
    </row>
    <row r="25" spans="1:13" x14ac:dyDescent="0.2">
      <c r="A25" s="5">
        <v>1.0460000000000001E-8</v>
      </c>
      <c r="B25" s="7">
        <f>A$23/A25</f>
        <v>3.245697896749522</v>
      </c>
      <c r="C25" s="8">
        <f>100*B25/4</f>
        <v>81.142447418738044</v>
      </c>
    </row>
    <row r="26" spans="1:13" x14ac:dyDescent="0.2">
      <c r="A26" s="5">
        <v>7.0619999999999998E-9</v>
      </c>
      <c r="B26" s="7">
        <f>A$23/A26</f>
        <v>4.8074199943358824</v>
      </c>
      <c r="C26" s="8">
        <f>100*B26/8</f>
        <v>60.092749929198533</v>
      </c>
    </row>
    <row r="27" spans="1:13" x14ac:dyDescent="0.2">
      <c r="A27" s="5">
        <v>6.0699999999999999E-9</v>
      </c>
      <c r="B27" s="7">
        <f>A$23/A27</f>
        <v>5.593080724876442</v>
      </c>
      <c r="C27" s="8">
        <f>100*B27/12</f>
        <v>46.609006040637013</v>
      </c>
    </row>
    <row r="29" spans="1:13" s="2" customFormat="1" x14ac:dyDescent="0.2">
      <c r="A29" s="2" t="s">
        <v>9</v>
      </c>
      <c r="B29" s="2" t="s">
        <v>0</v>
      </c>
      <c r="C29" s="2" t="s">
        <v>1</v>
      </c>
      <c r="D29" s="12" t="s">
        <v>7</v>
      </c>
    </row>
    <row r="30" spans="1:13" s="1" customFormat="1" x14ac:dyDescent="0.2">
      <c r="A30" s="4">
        <v>1.6289999999999999E-8</v>
      </c>
      <c r="B30" s="7">
        <f>A$30/A30</f>
        <v>1</v>
      </c>
      <c r="C30" s="8">
        <f>100*B30/1</f>
        <v>100</v>
      </c>
      <c r="D30" s="10"/>
      <c r="E30" s="4"/>
      <c r="F30" s="7"/>
      <c r="G30" s="8"/>
      <c r="H30" s="5"/>
      <c r="I30" s="8"/>
      <c r="J30" s="5"/>
      <c r="K30" s="5"/>
      <c r="L30" s="5"/>
      <c r="M30" s="5"/>
    </row>
    <row r="31" spans="1:13" s="1" customFormat="1" x14ac:dyDescent="0.2">
      <c r="A31" s="4">
        <v>8.3180000000000004E-9</v>
      </c>
      <c r="B31" s="7">
        <f t="shared" ref="B31:B34" si="2">A$30/A31</f>
        <v>1.958403462370762</v>
      </c>
      <c r="C31" s="8">
        <f>100*B31/2</f>
        <v>97.920173118538102</v>
      </c>
      <c r="D31" s="10"/>
      <c r="E31" s="4"/>
      <c r="F31" s="7"/>
      <c r="G31" s="8"/>
      <c r="H31" s="5"/>
      <c r="I31" s="8"/>
      <c r="J31" s="5"/>
      <c r="K31" s="5"/>
      <c r="L31" s="5"/>
      <c r="M31" s="5"/>
    </row>
    <row r="32" spans="1:13" s="1" customFormat="1" x14ac:dyDescent="0.2">
      <c r="A32" s="4">
        <v>4.3699999999999996E-9</v>
      </c>
      <c r="B32" s="7">
        <f t="shared" si="2"/>
        <v>3.7276887871853548</v>
      </c>
      <c r="C32" s="8">
        <f>100*B32/4</f>
        <v>93.192219679633865</v>
      </c>
      <c r="D32" s="10"/>
      <c r="E32" s="4"/>
      <c r="F32" s="7"/>
      <c r="G32" s="8"/>
      <c r="H32" s="5"/>
      <c r="I32" s="8"/>
      <c r="J32" s="5"/>
      <c r="K32" s="5"/>
      <c r="L32" s="5"/>
      <c r="M32" s="5"/>
    </row>
    <row r="33" spans="1:13" s="1" customFormat="1" x14ac:dyDescent="0.2">
      <c r="A33" s="4">
        <v>2.5760000000000002E-9</v>
      </c>
      <c r="B33" s="7">
        <f t="shared" si="2"/>
        <v>6.3237577639751548</v>
      </c>
      <c r="C33" s="8">
        <f>100*B33/8</f>
        <v>79.04697204968943</v>
      </c>
      <c r="D33" s="10"/>
      <c r="E33" s="4"/>
      <c r="F33" s="7"/>
      <c r="G33" s="8"/>
      <c r="H33" s="5"/>
      <c r="I33" s="8"/>
      <c r="J33" s="5"/>
      <c r="K33" s="5"/>
      <c r="L33" s="5"/>
      <c r="M33" s="5"/>
    </row>
    <row r="34" spans="1:13" s="1" customFormat="1" x14ac:dyDescent="0.2">
      <c r="A34" s="5">
        <v>2.179E-9</v>
      </c>
      <c r="B34" s="7">
        <f t="shared" si="2"/>
        <v>7.4759063790729687</v>
      </c>
      <c r="C34" s="8">
        <f>100*B34/12</f>
        <v>62.299219825608077</v>
      </c>
      <c r="D34" s="10"/>
      <c r="E34" s="5"/>
      <c r="F34" s="5"/>
      <c r="G34" s="5"/>
      <c r="H34" s="5"/>
      <c r="I34" s="5"/>
      <c r="J34" s="5"/>
      <c r="K34" s="5"/>
      <c r="L34" s="5"/>
      <c r="M34" s="5"/>
    </row>
    <row r="35" spans="1:13" s="1" customFormat="1" x14ac:dyDescent="0.2">
      <c r="A35" s="5"/>
      <c r="B35" s="5"/>
      <c r="C35" s="5"/>
      <c r="D35" s="10"/>
      <c r="E35" s="5"/>
      <c r="F35" s="5"/>
      <c r="G35" s="5"/>
      <c r="H35" s="5"/>
      <c r="I35" s="5"/>
      <c r="J35" s="5"/>
      <c r="K35" s="5"/>
      <c r="L35" s="5"/>
      <c r="M35" s="5"/>
    </row>
    <row r="36" spans="1:13" s="2" customFormat="1" x14ac:dyDescent="0.2">
      <c r="A36" s="2" t="s">
        <v>10</v>
      </c>
      <c r="B36" s="2" t="s">
        <v>0</v>
      </c>
      <c r="C36" s="2" t="s">
        <v>1</v>
      </c>
      <c r="D36" s="12" t="s">
        <v>3</v>
      </c>
    </row>
    <row r="37" spans="1:13" x14ac:dyDescent="0.2">
      <c r="A37" s="4">
        <v>1.5049999999999999E-8</v>
      </c>
      <c r="B37" s="7">
        <f>A$37/A37</f>
        <v>1</v>
      </c>
      <c r="C37" s="8">
        <f>100*B37/1</f>
        <v>100</v>
      </c>
    </row>
    <row r="38" spans="1:13" x14ac:dyDescent="0.2">
      <c r="A38" s="4">
        <v>7.7059999999999997E-9</v>
      </c>
      <c r="B38" s="7">
        <f t="shared" ref="B38:B41" si="3">A$37/A38</f>
        <v>1.9530236179600311</v>
      </c>
      <c r="C38" s="8">
        <f>100*B38/2</f>
        <v>97.651180898001556</v>
      </c>
    </row>
    <row r="39" spans="1:13" x14ac:dyDescent="0.2">
      <c r="A39" s="4">
        <v>3.9989999999999999E-9</v>
      </c>
      <c r="B39" s="7">
        <f t="shared" si="3"/>
        <v>3.7634408602150535</v>
      </c>
      <c r="C39" s="8">
        <f>100*B39/4</f>
        <v>94.086021505376337</v>
      </c>
    </row>
    <row r="40" spans="1:13" x14ac:dyDescent="0.2">
      <c r="A40" s="4">
        <v>2.2750000000000001E-9</v>
      </c>
      <c r="B40" s="7">
        <f t="shared" si="3"/>
        <v>6.615384615384615</v>
      </c>
      <c r="C40" s="8">
        <f>100*B40/8</f>
        <v>82.692307692307693</v>
      </c>
    </row>
    <row r="41" spans="1:13" x14ac:dyDescent="0.2">
      <c r="A41" s="5">
        <v>1.8449999999999999E-9</v>
      </c>
      <c r="B41" s="7">
        <f t="shared" si="3"/>
        <v>8.1571815718157179</v>
      </c>
      <c r="C41" s="8">
        <f>100*B41/12</f>
        <v>67.976513098464309</v>
      </c>
    </row>
    <row r="43" spans="1:13" x14ac:dyDescent="0.2">
      <c r="A43" s="2" t="s">
        <v>11</v>
      </c>
      <c r="B43" s="2" t="s">
        <v>0</v>
      </c>
      <c r="C43" s="2" t="s">
        <v>1</v>
      </c>
      <c r="D43" s="9" t="s">
        <v>4</v>
      </c>
      <c r="E43" s="12"/>
    </row>
    <row r="44" spans="1:13" x14ac:dyDescent="0.2">
      <c r="A44" s="5">
        <v>1.5119999999999999E-8</v>
      </c>
      <c r="B44" s="7">
        <f>A$44/A44</f>
        <v>1</v>
      </c>
      <c r="C44" s="8">
        <f>100*B44/1</f>
        <v>100</v>
      </c>
    </row>
    <row r="45" spans="1:13" x14ac:dyDescent="0.2">
      <c r="A45" s="5">
        <v>7.6850000000000007E-9</v>
      </c>
      <c r="B45" s="7">
        <f>A$44/A45</f>
        <v>1.9674690956408585</v>
      </c>
      <c r="C45" s="8">
        <f>100*B45/2</f>
        <v>98.373454782042927</v>
      </c>
    </row>
    <row r="46" spans="1:13" x14ac:dyDescent="0.2">
      <c r="A46" s="5">
        <v>3.9799999999999999E-9</v>
      </c>
      <c r="B46" s="7">
        <f>A$44/A46</f>
        <v>3.7989949748743719</v>
      </c>
      <c r="C46" s="8">
        <f>100*B46/4</f>
        <v>94.9748743718593</v>
      </c>
    </row>
    <row r="47" spans="1:13" x14ac:dyDescent="0.2">
      <c r="A47" s="5">
        <v>2.2630000000000001E-9</v>
      </c>
      <c r="B47" s="7">
        <f>A$44/A47</f>
        <v>6.6813963764913824</v>
      </c>
      <c r="C47" s="8">
        <f>100*B47/8</f>
        <v>83.517454706142274</v>
      </c>
    </row>
    <row r="48" spans="1:13" x14ac:dyDescent="0.2">
      <c r="A48" s="5">
        <v>1.835E-9</v>
      </c>
      <c r="B48" s="7">
        <f>A$44/A48</f>
        <v>8.2397820163487729</v>
      </c>
      <c r="C48" s="8">
        <f>100*B48/12</f>
        <v>68.664850136239778</v>
      </c>
    </row>
    <row r="50" spans="1:5" x14ac:dyDescent="0.2">
      <c r="A50" s="2" t="s">
        <v>12</v>
      </c>
      <c r="B50" s="2" t="s">
        <v>0</v>
      </c>
      <c r="C50" s="2" t="s">
        <v>1</v>
      </c>
      <c r="D50" s="9" t="s">
        <v>5</v>
      </c>
      <c r="E50" s="12"/>
    </row>
    <row r="51" spans="1:5" x14ac:dyDescent="0.2">
      <c r="A51" s="5">
        <v>1.4950000000000002E-8</v>
      </c>
      <c r="B51" s="7">
        <f>A$51/A51</f>
        <v>1</v>
      </c>
      <c r="C51" s="8">
        <f>100*B51/1</f>
        <v>100</v>
      </c>
    </row>
    <row r="52" spans="1:5" x14ac:dyDescent="0.2">
      <c r="A52" s="5">
        <v>7.5300000000000003E-9</v>
      </c>
      <c r="B52" s="7">
        <f t="shared" ref="B52:B55" si="4">A$51/A52</f>
        <v>1.9853917662682605</v>
      </c>
      <c r="C52" s="8">
        <f>100*B52/2</f>
        <v>99.269588313413024</v>
      </c>
    </row>
    <row r="53" spans="1:5" x14ac:dyDescent="0.2">
      <c r="A53" s="5">
        <v>3.9039999999999998E-9</v>
      </c>
      <c r="B53" s="7">
        <f t="shared" si="4"/>
        <v>3.8294057377049189</v>
      </c>
      <c r="C53" s="8">
        <f>100*B53/4</f>
        <v>95.73514344262297</v>
      </c>
    </row>
    <row r="54" spans="1:5" x14ac:dyDescent="0.2">
      <c r="A54" s="5">
        <v>2.164E-9</v>
      </c>
      <c r="B54" s="7">
        <f t="shared" si="4"/>
        <v>6.9085027726432537</v>
      </c>
      <c r="C54" s="8">
        <f>100*B54/8</f>
        <v>86.356284658040678</v>
      </c>
    </row>
    <row r="55" spans="1:5" x14ac:dyDescent="0.2">
      <c r="A55" s="5">
        <v>1.728E-9</v>
      </c>
      <c r="B55" s="7">
        <f t="shared" si="4"/>
        <v>8.6516203703703702</v>
      </c>
      <c r="C55" s="8">
        <f>100*B55/12</f>
        <v>72.096836419753089</v>
      </c>
    </row>
    <row r="57" spans="1:5" x14ac:dyDescent="0.2">
      <c r="A57" s="2" t="s">
        <v>13</v>
      </c>
      <c r="B57" s="2" t="s">
        <v>0</v>
      </c>
      <c r="C57" s="2" t="s">
        <v>1</v>
      </c>
      <c r="D57" s="9" t="s">
        <v>6</v>
      </c>
      <c r="E57" s="12"/>
    </row>
    <row r="58" spans="1:5" x14ac:dyDescent="0.2">
      <c r="A58" s="5">
        <v>1.3329999999999999E-8</v>
      </c>
      <c r="B58" s="7">
        <f>A$58/A58</f>
        <v>1</v>
      </c>
      <c r="C58" s="8">
        <f>100*B58/1</f>
        <v>100</v>
      </c>
      <c r="D58" s="13" t="s">
        <v>17</v>
      </c>
    </row>
    <row r="59" spans="1:5" x14ac:dyDescent="0.2">
      <c r="A59" s="5">
        <v>6.7610000000000001E-9</v>
      </c>
      <c r="B59" s="7">
        <f>A$58/A59</f>
        <v>1.9716018340482175</v>
      </c>
      <c r="C59" s="8">
        <f>100*B59/2</f>
        <v>98.580091702410883</v>
      </c>
    </row>
    <row r="60" spans="1:5" x14ac:dyDescent="0.2">
      <c r="A60" s="5">
        <v>3.4459999999999999E-9</v>
      </c>
      <c r="B60" s="7">
        <f t="shared" ref="B60:B62" si="5">A$58/A60</f>
        <v>3.8682530470110272</v>
      </c>
      <c r="C60" s="8">
        <f>100*B60/4</f>
        <v>96.706326175275677</v>
      </c>
    </row>
    <row r="61" spans="1:5" x14ac:dyDescent="0.2">
      <c r="A61" s="5">
        <v>1.839E-9</v>
      </c>
      <c r="B61" s="7">
        <f t="shared" si="5"/>
        <v>7.248504622077216</v>
      </c>
      <c r="C61" s="8">
        <f>100*B61/8</f>
        <v>90.606307775965206</v>
      </c>
    </row>
    <row r="62" spans="1:5" x14ac:dyDescent="0.2">
      <c r="A62" s="5">
        <v>1.426E-9</v>
      </c>
      <c r="B62" s="7">
        <f t="shared" si="5"/>
        <v>9.3478260869565215</v>
      </c>
      <c r="C62" s="8">
        <f>100*B62/12</f>
        <v>77.898550724637673</v>
      </c>
      <c r="D62" s="13" t="s">
        <v>18</v>
      </c>
    </row>
    <row r="65" spans="1:3" x14ac:dyDescent="0.2">
      <c r="A65" s="11" t="s">
        <v>27</v>
      </c>
    </row>
    <row r="66" spans="1:3" x14ac:dyDescent="0.2">
      <c r="A66" s="6" t="s">
        <v>25</v>
      </c>
      <c r="B66" s="6" t="s">
        <v>29</v>
      </c>
      <c r="C66" s="14" t="s">
        <v>30</v>
      </c>
    </row>
    <row r="67" spans="1:3" x14ac:dyDescent="0.2">
      <c r="A67" s="6" t="s">
        <v>26</v>
      </c>
      <c r="B67" s="6" t="s">
        <v>28</v>
      </c>
      <c r="C67" s="14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 Stiller</dc:creator>
  <cp:lastModifiedBy>Jörg Stiller</cp:lastModifiedBy>
  <dcterms:created xsi:type="dcterms:W3CDTF">2020-12-31T12:25:28Z</dcterms:created>
  <dcterms:modified xsi:type="dcterms:W3CDTF">2021-01-03T20:04:22Z</dcterms:modified>
</cp:coreProperties>
</file>